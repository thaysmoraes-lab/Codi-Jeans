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5bc8ecb59e7f60f/.PRIME FLOW_IA/Codi Jeans/"/>
    </mc:Choice>
  </mc:AlternateContent>
  <xr:revisionPtr revIDLastSave="172" documentId="8_{9B7E9757-2433-41B9-842C-9670402A2158}" xr6:coauthVersionLast="47" xr6:coauthVersionMax="47" xr10:uidLastSave="{4AA42212-D14A-4196-ABA5-E3BD0A7A2B7B}"/>
  <bookViews>
    <workbookView xWindow="-108" yWindow="-108" windowWidth="23256" windowHeight="12456" activeTab="2" xr2:uid="{1C78803C-B394-420B-AF11-E10A87096603}"/>
  </bookViews>
  <sheets>
    <sheet name="Precificação" sheetId="1" r:id="rId1"/>
    <sheet name="Memoria de Calculo Desp Fixa" sheetId="2" r:id="rId2"/>
    <sheet name="Custo Fixo Mercado Liv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3" l="1"/>
  <c r="N13" i="3"/>
  <c r="R13" i="3" s="1"/>
  <c r="Q12" i="3"/>
  <c r="N12" i="3"/>
  <c r="R12" i="3" s="1"/>
  <c r="J12" i="3"/>
  <c r="Q11" i="3"/>
  <c r="N11" i="3"/>
  <c r="R11" i="3" s="1"/>
  <c r="K11" i="3"/>
  <c r="E11" i="3"/>
  <c r="Q10" i="3"/>
  <c r="N10" i="3"/>
  <c r="R10" i="3" s="1"/>
  <c r="K10" i="3"/>
  <c r="K13" i="3" s="1"/>
  <c r="J13" i="3" s="1"/>
  <c r="E10" i="3"/>
  <c r="Q9" i="3"/>
  <c r="N9" i="3"/>
  <c r="R9" i="3" s="1"/>
  <c r="Q8" i="3"/>
  <c r="N8" i="3"/>
  <c r="R8" i="3" s="1"/>
  <c r="J12" i="2"/>
  <c r="N13" i="2"/>
  <c r="R13" i="2" s="1"/>
  <c r="N12" i="2"/>
  <c r="R12" i="2" s="1"/>
  <c r="N11" i="2"/>
  <c r="R11" i="2" s="1"/>
  <c r="N10" i="2"/>
  <c r="R10" i="2" s="1"/>
  <c r="N9" i="2"/>
  <c r="R9" i="2" s="1"/>
  <c r="N8" i="2"/>
  <c r="R8" i="2" s="1"/>
  <c r="R14" i="2" s="1"/>
  <c r="R16" i="2" s="1"/>
  <c r="Q13" i="2"/>
  <c r="Q12" i="2"/>
  <c r="Q11" i="2"/>
  <c r="Q10" i="2"/>
  <c r="Q9" i="2"/>
  <c r="Q8" i="2"/>
  <c r="R14" i="3" l="1"/>
  <c r="R16" i="3" s="1"/>
  <c r="E12" i="3" s="1"/>
  <c r="E13" i="3" s="1"/>
  <c r="D13" i="3" s="1"/>
  <c r="E12" i="2"/>
  <c r="K11" i="2" l="1"/>
  <c r="E11" i="2"/>
  <c r="K10" i="2"/>
  <c r="E10" i="2"/>
  <c r="K12" i="1"/>
  <c r="K11" i="1"/>
  <c r="K10" i="1"/>
  <c r="K13" i="1" s="1"/>
  <c r="J13" i="1" s="1"/>
  <c r="E11" i="1"/>
  <c r="E12" i="1"/>
  <c r="E10" i="1"/>
  <c r="K13" i="2" l="1"/>
  <c r="J13" i="2" s="1"/>
  <c r="E13" i="2"/>
  <c r="D13" i="2" s="1"/>
  <c r="E13" i="1"/>
  <c r="D13" i="1" s="1"/>
</calcChain>
</file>

<file path=xl/sharedStrings.xml><?xml version="1.0" encoding="utf-8"?>
<sst xmlns="http://schemas.openxmlformats.org/spreadsheetml/2006/main" count="59" uniqueCount="16">
  <si>
    <t>Despesa fixa</t>
  </si>
  <si>
    <t>Imposto</t>
  </si>
  <si>
    <t>Custo da peça</t>
  </si>
  <si>
    <t>Margem</t>
  </si>
  <si>
    <t>Preço de venda</t>
  </si>
  <si>
    <t>Custo Financeiro</t>
  </si>
  <si>
    <t>Cenário 1</t>
  </si>
  <si>
    <t>Cenário 2</t>
  </si>
  <si>
    <t>Simulação de Precificação</t>
  </si>
  <si>
    <t>Receita</t>
  </si>
  <si>
    <t>Despesa Fixa</t>
  </si>
  <si>
    <t>Média</t>
  </si>
  <si>
    <t>Segurança</t>
  </si>
  <si>
    <t>Fixa</t>
  </si>
  <si>
    <t>Qtd Media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</si>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</sst>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43" fontId="0" fillId="0" borderId="0" xfId="1" applyFont="1"/>
    <xf numFmtId="0" fontId="2" fillId="0" borderId="0" xfId="0" applyFont="1"/>
    <xf numFmtId="10" fontId="0" fillId="0" borderId="0" xfId="0" applyNumberFormat="1"/>
    <xf numFmtId="43" fontId="0" fillId="3" borderId="1" xfId="1" applyFont="1" applyFill="1" applyBorder="1"/>
    <xf numFmtId="43" fontId="0" fillId="3" borderId="2" xfId="1" applyFont="1" applyFill="1" applyBorder="1"/>
    <xf numFmtId="10" fontId="0" fillId="3" borderId="1" xfId="0" applyNumberFormat="1" applyFill="1" applyBorder="1"/>
    <xf numFmtId="10" fontId="0" fillId="3" borderId="3" xfId="2" applyNumberFormat="1" applyFont="1" applyFill="1" applyBorder="1"/>
    <xf numFmtId="10" fontId="0" fillId="3" borderId="2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2" fillId="0" borderId="8" xfId="2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4" xfId="0" applyFont="1" applyBorder="1"/>
    <xf numFmtId="0" fontId="2" fillId="0" borderId="7" xfId="0" applyFont="1" applyBorder="1"/>
    <xf numFmtId="43" fontId="0" fillId="0" borderId="8" xfId="0" applyNumberFormat="1" applyBorder="1"/>
    <xf numFmtId="0" fontId="2" fillId="0" borderId="9" xfId="0" applyFont="1" applyBorder="1"/>
    <xf numFmtId="10" fontId="0" fillId="2" borderId="10" xfId="2" applyNumberFormat="1" applyFont="1" applyFill="1" applyBorder="1"/>
    <xf numFmtId="43" fontId="0" fillId="0" borderId="11" xfId="0" applyNumberFormat="1" applyBorder="1"/>
    <xf numFmtId="0" fontId="2" fillId="3" borderId="0" xfId="0" applyFont="1" applyFill="1"/>
    <xf numFmtId="0" fontId="3" fillId="0" borderId="0" xfId="0" applyFont="1"/>
    <xf numFmtId="164" fontId="0" fillId="0" borderId="0" xfId="1" applyNumberFormat="1" applyFont="1"/>
    <xf numFmtId="43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144780</xdr:rowOff>
    </xdr:from>
    <xdr:to>
      <xdr:col>3</xdr:col>
      <xdr:colOff>419101</xdr:colOff>
      <xdr:row>3</xdr:row>
      <xdr:rowOff>84129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01D6B7-93F9-6133-A18F-898E7C8A0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1" y="144780"/>
          <a:ext cx="1623060" cy="533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144780</xdr:rowOff>
    </xdr:from>
    <xdr:to>
      <xdr:col>3</xdr:col>
      <xdr:colOff>419101</xdr:colOff>
      <xdr:row>3</xdr:row>
      <xdr:rowOff>84129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EAE163-3172-4CA2-B407-538603C2F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6" y="144780"/>
          <a:ext cx="1590675" cy="558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144780</xdr:rowOff>
    </xdr:from>
    <xdr:to>
      <xdr:col>3</xdr:col>
      <xdr:colOff>419101</xdr:colOff>
      <xdr:row>3</xdr:row>
      <xdr:rowOff>84129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852B2D-3E9C-4FD0-B4EF-02C6AC992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1" y="144780"/>
          <a:ext cx="1623060" cy="5337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F517-4F13-41CA-9AA5-6B366B2B8648}">
  <dimension ref="B2:M23"/>
  <sheetViews>
    <sheetView showGridLines="0" workbookViewId="0">
      <selection activeCell="K12" sqref="K12"/>
    </sheetView>
  </sheetViews>
  <sheetFormatPr defaultRowHeight="14.4" x14ac:dyDescent="0.3"/>
  <cols>
    <col min="1" max="1" width="4.109375" customWidth="1"/>
    <col min="2" max="2" width="2.88671875" customWidth="1"/>
    <col min="3" max="3" width="14.6640625" customWidth="1"/>
    <col min="6" max="6" width="3" customWidth="1"/>
    <col min="7" max="7" width="1.6640625" customWidth="1"/>
    <col min="8" max="8" width="2.109375" customWidth="1"/>
    <col min="9" max="9" width="16.6640625" customWidth="1"/>
    <col min="10" max="10" width="9.33203125" customWidth="1"/>
    <col min="12" max="12" width="3.109375" customWidth="1"/>
  </cols>
  <sheetData>
    <row r="2" spans="2:13" ht="18" x14ac:dyDescent="0.35">
      <c r="E2" s="25" t="s">
        <v>8</v>
      </c>
      <c r="F2" s="25"/>
      <c r="G2" s="25"/>
      <c r="H2" s="25"/>
      <c r="I2" s="25"/>
    </row>
    <row r="6" spans="2:13" s="2" customFormat="1" ht="15" thickBot="1" x14ac:dyDescent="0.35">
      <c r="B6" s="24"/>
      <c r="C6" s="24" t="s">
        <v>6</v>
      </c>
      <c r="D6" s="24"/>
      <c r="E6" s="24"/>
      <c r="F6" s="24"/>
      <c r="H6" s="24"/>
      <c r="I6" s="24" t="s">
        <v>7</v>
      </c>
      <c r="J6" s="24"/>
      <c r="K6" s="24"/>
      <c r="L6" s="24"/>
    </row>
    <row r="7" spans="2:13" ht="15" thickBot="1" x14ac:dyDescent="0.35">
      <c r="B7" s="9"/>
      <c r="C7" s="10"/>
      <c r="D7" s="10"/>
      <c r="E7" s="10"/>
      <c r="F7" s="11"/>
      <c r="H7" s="9"/>
      <c r="I7" s="10"/>
      <c r="J7" s="10"/>
      <c r="K7" s="10"/>
      <c r="L7" s="11"/>
      <c r="M7" s="3"/>
    </row>
    <row r="8" spans="2:13" x14ac:dyDescent="0.3">
      <c r="B8" s="12"/>
      <c r="C8" s="18" t="s">
        <v>4</v>
      </c>
      <c r="D8" s="10"/>
      <c r="E8" s="4">
        <v>65</v>
      </c>
      <c r="F8" s="13"/>
      <c r="H8" s="12"/>
      <c r="I8" s="18" t="s">
        <v>4</v>
      </c>
      <c r="J8" s="10"/>
      <c r="K8" s="4">
        <v>65</v>
      </c>
      <c r="L8" s="13"/>
    </row>
    <row r="9" spans="2:13" ht="15" thickBot="1" x14ac:dyDescent="0.35">
      <c r="B9" s="12"/>
      <c r="C9" s="19" t="s">
        <v>2</v>
      </c>
      <c r="E9" s="5">
        <v>53</v>
      </c>
      <c r="F9" s="14"/>
      <c r="H9" s="12"/>
      <c r="I9" s="19" t="s">
        <v>2</v>
      </c>
      <c r="K9" s="5">
        <v>53</v>
      </c>
      <c r="L9" s="14"/>
    </row>
    <row r="10" spans="2:13" x14ac:dyDescent="0.3">
      <c r="B10" s="12"/>
      <c r="C10" s="19" t="s">
        <v>1</v>
      </c>
      <c r="D10" s="6">
        <v>0.1</v>
      </c>
      <c r="E10" s="20">
        <f>E8*D10</f>
        <v>6.5</v>
      </c>
      <c r="F10" s="13"/>
      <c r="H10" s="12"/>
      <c r="I10" s="19" t="s">
        <v>1</v>
      </c>
      <c r="J10" s="6">
        <v>0</v>
      </c>
      <c r="K10" s="20">
        <f>K8*J10</f>
        <v>0</v>
      </c>
      <c r="L10" s="13"/>
    </row>
    <row r="11" spans="2:13" x14ac:dyDescent="0.3">
      <c r="B11" s="12"/>
      <c r="C11" s="19" t="s">
        <v>5</v>
      </c>
      <c r="D11" s="7">
        <v>0.02</v>
      </c>
      <c r="E11" s="20">
        <f>E8*D11</f>
        <v>1.3</v>
      </c>
      <c r="F11" s="13"/>
      <c r="H11" s="12"/>
      <c r="I11" s="19" t="s">
        <v>5</v>
      </c>
      <c r="J11" s="7">
        <v>2.1999999999999999E-2</v>
      </c>
      <c r="K11" s="20">
        <f>K8*J11</f>
        <v>1.43</v>
      </c>
      <c r="L11" s="13"/>
    </row>
    <row r="12" spans="2:13" ht="15" thickBot="1" x14ac:dyDescent="0.35">
      <c r="B12" s="12"/>
      <c r="C12" s="19" t="s">
        <v>0</v>
      </c>
      <c r="D12" s="8">
        <v>0.15</v>
      </c>
      <c r="E12" s="20">
        <f>E8*D12</f>
        <v>9.75</v>
      </c>
      <c r="F12" s="13"/>
      <c r="H12" s="12"/>
      <c r="I12" s="19" t="s">
        <v>0</v>
      </c>
      <c r="J12" s="8">
        <v>0.15</v>
      </c>
      <c r="K12" s="20">
        <f>K8*J12</f>
        <v>9.75</v>
      </c>
      <c r="L12" s="13"/>
    </row>
    <row r="13" spans="2:13" ht="15" thickBot="1" x14ac:dyDescent="0.35">
      <c r="B13" s="12"/>
      <c r="C13" s="21" t="s">
        <v>3</v>
      </c>
      <c r="D13" s="22">
        <f>E13/E8</f>
        <v>-8.5384615384615378E-2</v>
      </c>
      <c r="E13" s="23">
        <f>E8-E9-E10-E12-E11</f>
        <v>-5.55</v>
      </c>
      <c r="F13" s="13"/>
      <c r="H13" s="12"/>
      <c r="I13" s="21" t="s">
        <v>3</v>
      </c>
      <c r="J13" s="22">
        <f>K13/K8</f>
        <v>1.2615384615384617E-2</v>
      </c>
      <c r="K13" s="23">
        <f>K8-K9-K10-K12-K11</f>
        <v>0.82000000000000006</v>
      </c>
      <c r="L13" s="13"/>
    </row>
    <row r="14" spans="2:13" ht="15" thickBot="1" x14ac:dyDescent="0.35">
      <c r="B14" s="15"/>
      <c r="C14" s="16"/>
      <c r="D14" s="16"/>
      <c r="E14" s="16"/>
      <c r="F14" s="17"/>
      <c r="H14" s="15"/>
      <c r="I14" s="16"/>
      <c r="J14" s="16"/>
      <c r="K14" s="16"/>
      <c r="L14" s="17"/>
    </row>
    <row r="22" spans="4:4" x14ac:dyDescent="0.3">
      <c r="D22" s="1"/>
    </row>
    <row r="23" spans="4:4" x14ac:dyDescent="0.3">
      <c r="D23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482B-B6ED-4524-B1C9-BE85E28CE5AA}">
  <dimension ref="B2:R23"/>
  <sheetViews>
    <sheetView showGridLines="0" workbookViewId="0">
      <selection activeCell="J11" sqref="J11"/>
    </sheetView>
  </sheetViews>
  <sheetFormatPr defaultRowHeight="14.4" x14ac:dyDescent="0.3"/>
  <cols>
    <col min="1" max="1" width="4.109375" customWidth="1"/>
    <col min="2" max="2" width="2.88671875" customWidth="1"/>
    <col min="3" max="3" width="14.6640625" customWidth="1"/>
    <col min="6" max="6" width="3" customWidth="1"/>
    <col min="7" max="7" width="1.6640625" customWidth="1"/>
    <col min="8" max="8" width="2.109375" customWidth="1"/>
    <col min="9" max="9" width="16.6640625" customWidth="1"/>
    <col min="10" max="10" width="9.33203125" customWidth="1"/>
    <col min="11" max="11" width="10.44140625" bestFit="1" customWidth="1"/>
    <col min="12" max="12" width="3.109375" customWidth="1"/>
    <col min="14" max="14" width="9.5546875" bestFit="1" customWidth="1"/>
    <col min="15" max="15" width="11.5546875" bestFit="1" customWidth="1"/>
    <col min="16" max="16" width="10.5546875" bestFit="1" customWidth="1"/>
    <col min="17" max="17" width="10.6640625" customWidth="1"/>
  </cols>
  <sheetData>
    <row r="2" spans="2:18" ht="18" x14ac:dyDescent="0.35">
      <c r="E2" s="25" t="s">
        <v>8</v>
      </c>
      <c r="F2" s="25"/>
      <c r="G2" s="25"/>
      <c r="H2" s="25"/>
      <c r="I2" s="25"/>
    </row>
    <row r="6" spans="2:18" s="2" customFormat="1" ht="15" thickBot="1" x14ac:dyDescent="0.35">
      <c r="B6" s="24"/>
      <c r="C6" s="24" t="s">
        <v>6</v>
      </c>
      <c r="D6" s="24"/>
      <c r="E6" s="24"/>
      <c r="F6" s="24"/>
      <c r="H6" s="24"/>
      <c r="I6" s="24" t="s">
        <v>7</v>
      </c>
      <c r="J6" s="24"/>
      <c r="K6" s="24"/>
      <c r="L6" s="24"/>
    </row>
    <row r="7" spans="2:18" ht="15" thickBot="1" x14ac:dyDescent="0.35">
      <c r="B7" s="9"/>
      <c r="C7" s="10"/>
      <c r="D7" s="10"/>
      <c r="E7" s="10"/>
      <c r="F7" s="11"/>
      <c r="H7" s="9"/>
      <c r="I7" s="10"/>
      <c r="J7" s="10"/>
      <c r="K7" s="10"/>
      <c r="L7" s="11"/>
      <c r="M7" s="3"/>
      <c r="N7" s="29" t="s">
        <v>14</v>
      </c>
      <c r="O7" s="29" t="s">
        <v>9</v>
      </c>
      <c r="P7" s="29" t="s">
        <v>10</v>
      </c>
      <c r="Q7" s="29" t="s">
        <v>15</v>
      </c>
    </row>
    <row r="8" spans="2:18" x14ac:dyDescent="0.3">
      <c r="B8" s="12"/>
      <c r="C8" s="18" t="s">
        <v>4</v>
      </c>
      <c r="D8" s="10"/>
      <c r="E8" s="4">
        <v>65</v>
      </c>
      <c r="F8" s="13"/>
      <c r="H8" s="12"/>
      <c r="I8" s="18" t="s">
        <v>4</v>
      </c>
      <c r="J8" s="10"/>
      <c r="K8" s="4">
        <v>80</v>
      </c>
      <c r="L8" s="13"/>
      <c r="N8" s="1">
        <f>O8/$K$8</f>
        <v>4375</v>
      </c>
      <c r="O8" s="26">
        <v>350000</v>
      </c>
      <c r="P8" s="1">
        <v>58000</v>
      </c>
      <c r="Q8" s="30">
        <f>P8/O8</f>
        <v>0.1657142857142857</v>
      </c>
      <c r="R8" s="1">
        <f>P8/N8</f>
        <v>13.257142857142858</v>
      </c>
    </row>
    <row r="9" spans="2:18" ht="15" thickBot="1" x14ac:dyDescent="0.35">
      <c r="B9" s="12"/>
      <c r="C9" s="19" t="s">
        <v>2</v>
      </c>
      <c r="E9" s="5">
        <v>53</v>
      </c>
      <c r="F9" s="14"/>
      <c r="H9" s="12"/>
      <c r="I9" s="19" t="s">
        <v>2</v>
      </c>
      <c r="K9" s="5">
        <v>56</v>
      </c>
      <c r="L9" s="14"/>
      <c r="N9" s="1">
        <f t="shared" ref="N9:N13" si="0">O9/$K$8</f>
        <v>4000</v>
      </c>
      <c r="O9" s="26">
        <v>320000</v>
      </c>
      <c r="P9" s="1">
        <v>58000</v>
      </c>
      <c r="Q9" s="30">
        <f t="shared" ref="Q9:Q13" si="1">P9/O9</f>
        <v>0.18124999999999999</v>
      </c>
      <c r="R9" s="1">
        <f t="shared" ref="R9:R13" si="2">P9/N9</f>
        <v>14.5</v>
      </c>
    </row>
    <row r="10" spans="2:18" x14ac:dyDescent="0.3">
      <c r="B10" s="12"/>
      <c r="C10" s="19" t="s">
        <v>1</v>
      </c>
      <c r="D10" s="6">
        <v>0.1</v>
      </c>
      <c r="E10" s="20">
        <f>E8*D10</f>
        <v>6.5</v>
      </c>
      <c r="F10" s="13"/>
      <c r="H10" s="12"/>
      <c r="I10" s="19" t="s">
        <v>1</v>
      </c>
      <c r="J10" s="6">
        <v>0</v>
      </c>
      <c r="K10" s="20">
        <f>K8*J10</f>
        <v>0</v>
      </c>
      <c r="L10" s="13"/>
      <c r="N10" s="1">
        <f t="shared" si="0"/>
        <v>4375</v>
      </c>
      <c r="O10" s="26">
        <v>350000</v>
      </c>
      <c r="P10" s="1">
        <v>58000</v>
      </c>
      <c r="Q10" s="30">
        <f t="shared" si="1"/>
        <v>0.1657142857142857</v>
      </c>
      <c r="R10" s="1">
        <f t="shared" si="2"/>
        <v>13.257142857142858</v>
      </c>
    </row>
    <row r="11" spans="2:18" x14ac:dyDescent="0.3">
      <c r="B11" s="12"/>
      <c r="C11" s="19" t="s">
        <v>5</v>
      </c>
      <c r="D11" s="7">
        <v>0.02</v>
      </c>
      <c r="E11" s="20">
        <f>E8*D11</f>
        <v>1.3</v>
      </c>
      <c r="F11" s="13"/>
      <c r="H11" s="12"/>
      <c r="I11" s="19" t="s">
        <v>5</v>
      </c>
      <c r="J11" s="7">
        <v>0</v>
      </c>
      <c r="K11" s="20">
        <f>K8*J11</f>
        <v>0</v>
      </c>
      <c r="L11" s="13"/>
      <c r="N11" s="1">
        <f t="shared" si="0"/>
        <v>6500</v>
      </c>
      <c r="O11" s="26">
        <v>520000</v>
      </c>
      <c r="P11" s="1">
        <v>55000</v>
      </c>
      <c r="Q11" s="30">
        <f t="shared" si="1"/>
        <v>0.10576923076923077</v>
      </c>
      <c r="R11" s="1">
        <f t="shared" si="2"/>
        <v>8.4615384615384617</v>
      </c>
    </row>
    <row r="12" spans="2:18" ht="15" thickBot="1" x14ac:dyDescent="0.35">
      <c r="B12" s="12"/>
      <c r="C12" s="19" t="s">
        <v>0</v>
      </c>
      <c r="D12" s="8">
        <v>0.15</v>
      </c>
      <c r="E12" s="20">
        <f>R16</f>
        <v>12.333907967032967</v>
      </c>
      <c r="F12" s="13"/>
      <c r="H12" s="12"/>
      <c r="I12" s="19" t="s">
        <v>0</v>
      </c>
      <c r="J12" s="8">
        <f>K12/K8</f>
        <v>0.1125</v>
      </c>
      <c r="K12" s="20">
        <v>9</v>
      </c>
      <c r="L12" s="13"/>
      <c r="N12" s="1">
        <f t="shared" si="0"/>
        <v>6875</v>
      </c>
      <c r="O12" s="26">
        <v>550000</v>
      </c>
      <c r="P12" s="1">
        <v>55000</v>
      </c>
      <c r="Q12" s="30">
        <f t="shared" si="1"/>
        <v>0.1</v>
      </c>
      <c r="R12" s="1">
        <f t="shared" si="2"/>
        <v>8</v>
      </c>
    </row>
    <row r="13" spans="2:18" ht="15" thickBot="1" x14ac:dyDescent="0.35">
      <c r="B13" s="12"/>
      <c r="C13" s="21" t="s">
        <v>3</v>
      </c>
      <c r="D13" s="22">
        <f>E13/E8</f>
        <v>-0.12513704564666106</v>
      </c>
      <c r="E13" s="23">
        <f>E8-E9-E10-E12-E11</f>
        <v>-8.1339079670329681</v>
      </c>
      <c r="F13" s="13"/>
      <c r="H13" s="12"/>
      <c r="I13" s="21" t="s">
        <v>3</v>
      </c>
      <c r="J13" s="22">
        <f>K13/K8</f>
        <v>0.1875</v>
      </c>
      <c r="K13" s="23">
        <f>K8-K9-K10-K12-K11</f>
        <v>15</v>
      </c>
      <c r="L13" s="13"/>
      <c r="N13" s="1">
        <f t="shared" si="0"/>
        <v>8000</v>
      </c>
      <c r="O13" s="26">
        <v>640000</v>
      </c>
      <c r="P13" s="1">
        <v>55000</v>
      </c>
      <c r="Q13" s="30">
        <f t="shared" si="1"/>
        <v>8.59375E-2</v>
      </c>
      <c r="R13" s="1">
        <f t="shared" si="2"/>
        <v>6.875</v>
      </c>
    </row>
    <row r="14" spans="2:18" ht="15" thickBot="1" x14ac:dyDescent="0.35">
      <c r="B14" s="15"/>
      <c r="C14" s="16"/>
      <c r="D14" s="16"/>
      <c r="E14" s="16"/>
      <c r="F14" s="17"/>
      <c r="H14" s="15"/>
      <c r="I14" s="16"/>
      <c r="J14" s="16"/>
      <c r="K14" s="16"/>
      <c r="L14" s="17"/>
      <c r="Q14" t="s">
        <v>11</v>
      </c>
      <c r="R14" s="27">
        <f>AVERAGE(R8:R13)</f>
        <v>10.725137362637364</v>
      </c>
    </row>
    <row r="15" spans="2:18" x14ac:dyDescent="0.3">
      <c r="Q15" t="s">
        <v>12</v>
      </c>
      <c r="R15" s="28">
        <v>0.15</v>
      </c>
    </row>
    <row r="16" spans="2:18" x14ac:dyDescent="0.3">
      <c r="Q16" t="s">
        <v>13</v>
      </c>
      <c r="R16" s="27">
        <f>(R14*R15)+R14</f>
        <v>12.333907967032967</v>
      </c>
    </row>
    <row r="22" spans="4:4" x14ac:dyDescent="0.3">
      <c r="D22" s="1"/>
    </row>
    <row r="23" spans="4:4" x14ac:dyDescent="0.3">
      <c r="D23" s="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C62D-2957-46EF-963A-A77BDE0DB0AB}">
  <dimension ref="B2:R23"/>
  <sheetViews>
    <sheetView showGridLines="0" tabSelected="1" workbookViewId="0">
      <selection activeCell="I6" sqref="I6:L14"/>
    </sheetView>
  </sheetViews>
  <sheetFormatPr defaultRowHeight="14.4" x14ac:dyDescent="0.3"/>
  <cols>
    <col min="1" max="1" width="4.109375" customWidth="1"/>
    <col min="2" max="2" width="2.88671875" customWidth="1"/>
    <col min="3" max="3" width="14.6640625" customWidth="1"/>
    <col min="6" max="6" width="3" customWidth="1"/>
    <col min="7" max="7" width="1.6640625" customWidth="1"/>
    <col min="8" max="8" width="2.109375" customWidth="1"/>
    <col min="9" max="9" width="16.6640625" customWidth="1"/>
    <col min="10" max="10" width="9.33203125" customWidth="1"/>
    <col min="12" max="12" width="3.109375" customWidth="1"/>
    <col min="14" max="14" width="9.5546875" bestFit="1" customWidth="1"/>
    <col min="15" max="15" width="11.5546875" bestFit="1" customWidth="1"/>
    <col min="16" max="16" width="10.5546875" bestFit="1" customWidth="1"/>
    <col min="17" max="17" width="10.6640625" customWidth="1"/>
  </cols>
  <sheetData>
    <row r="2" spans="2:18" ht="18" x14ac:dyDescent="0.35">
      <c r="E2" s="25" t="s">
        <v>8</v>
      </c>
      <c r="F2" s="25"/>
      <c r="G2" s="25"/>
      <c r="H2" s="25"/>
      <c r="I2" s="25"/>
    </row>
    <row r="6" spans="2:18" s="2" customFormat="1" ht="15" thickBot="1" x14ac:dyDescent="0.35">
      <c r="B6" s="24"/>
      <c r="C6" s="24" t="s">
        <v>6</v>
      </c>
      <c r="D6" s="24"/>
      <c r="E6" s="24"/>
      <c r="F6" s="24"/>
      <c r="H6" s="24"/>
      <c r="I6" s="24" t="s">
        <v>7</v>
      </c>
      <c r="J6" s="24"/>
      <c r="K6" s="24"/>
      <c r="L6" s="24"/>
    </row>
    <row r="7" spans="2:18" ht="15" thickBot="1" x14ac:dyDescent="0.35">
      <c r="B7" s="9"/>
      <c r="C7" s="10"/>
      <c r="D7" s="10"/>
      <c r="E7" s="10"/>
      <c r="F7" s="11"/>
      <c r="H7" s="9"/>
      <c r="I7" s="10"/>
      <c r="J7" s="10"/>
      <c r="K7" s="10"/>
      <c r="L7" s="11"/>
      <c r="M7" s="3"/>
      <c r="N7" s="29" t="s">
        <v>14</v>
      </c>
      <c r="O7" s="29" t="s">
        <v>9</v>
      </c>
      <c r="P7" s="29" t="s">
        <v>10</v>
      </c>
      <c r="Q7" s="29" t="s">
        <v>15</v>
      </c>
    </row>
    <row r="8" spans="2:18" x14ac:dyDescent="0.3">
      <c r="B8" s="12"/>
      <c r="C8" s="18" t="s">
        <v>4</v>
      </c>
      <c r="D8" s="10"/>
      <c r="E8" s="4">
        <v>65</v>
      </c>
      <c r="F8" s="13"/>
      <c r="H8" s="12"/>
      <c r="I8" s="18" t="s">
        <v>4</v>
      </c>
      <c r="J8" s="10"/>
      <c r="K8" s="4">
        <v>80</v>
      </c>
      <c r="L8" s="13"/>
      <c r="N8" s="1">
        <f>O8/$K$8</f>
        <v>4375</v>
      </c>
      <c r="O8" s="26">
        <v>350000</v>
      </c>
      <c r="P8" s="1">
        <v>32000</v>
      </c>
      <c r="Q8" s="30">
        <f>P8/O8</f>
        <v>9.1428571428571428E-2</v>
      </c>
      <c r="R8" s="1">
        <f>P8/N8</f>
        <v>7.3142857142857141</v>
      </c>
    </row>
    <row r="9" spans="2:18" ht="15" thickBot="1" x14ac:dyDescent="0.35">
      <c r="B9" s="12"/>
      <c r="C9" s="19" t="s">
        <v>2</v>
      </c>
      <c r="E9" s="5">
        <v>53</v>
      </c>
      <c r="F9" s="14"/>
      <c r="H9" s="12"/>
      <c r="I9" s="19" t="s">
        <v>2</v>
      </c>
      <c r="K9" s="5">
        <v>56</v>
      </c>
      <c r="L9" s="14"/>
      <c r="N9" s="1">
        <f t="shared" ref="N9:N13" si="0">O9/$K$8</f>
        <v>4000</v>
      </c>
      <c r="O9" s="26">
        <v>320000</v>
      </c>
      <c r="P9" s="1">
        <v>32000</v>
      </c>
      <c r="Q9" s="30">
        <f t="shared" ref="Q9:Q13" si="1">P9/O9</f>
        <v>0.1</v>
      </c>
      <c r="R9" s="1">
        <f t="shared" ref="R9:R13" si="2">P9/N9</f>
        <v>8</v>
      </c>
    </row>
    <row r="10" spans="2:18" x14ac:dyDescent="0.3">
      <c r="B10" s="12"/>
      <c r="C10" s="19" t="s">
        <v>1</v>
      </c>
      <c r="D10" s="6">
        <v>0.1</v>
      </c>
      <c r="E10" s="20">
        <f>E8*D10</f>
        <v>6.5</v>
      </c>
      <c r="F10" s="13"/>
      <c r="H10" s="12"/>
      <c r="I10" s="19" t="s">
        <v>1</v>
      </c>
      <c r="J10" s="6">
        <v>0.06</v>
      </c>
      <c r="K10" s="20">
        <f>K8*J10</f>
        <v>4.8</v>
      </c>
      <c r="L10" s="13"/>
      <c r="N10" s="1">
        <f t="shared" si="0"/>
        <v>4375</v>
      </c>
      <c r="O10" s="26">
        <v>350000</v>
      </c>
      <c r="P10" s="1">
        <v>32000</v>
      </c>
      <c r="Q10" s="30">
        <f t="shared" si="1"/>
        <v>9.1428571428571428E-2</v>
      </c>
      <c r="R10" s="1">
        <f t="shared" si="2"/>
        <v>7.3142857142857141</v>
      </c>
    </row>
    <row r="11" spans="2:18" x14ac:dyDescent="0.3">
      <c r="B11" s="12"/>
      <c r="C11" s="19" t="s">
        <v>5</v>
      </c>
      <c r="D11" s="7">
        <v>0.02</v>
      </c>
      <c r="E11" s="20">
        <f>E8*D11</f>
        <v>1.3</v>
      </c>
      <c r="F11" s="13"/>
      <c r="H11" s="12"/>
      <c r="I11" s="19" t="s">
        <v>5</v>
      </c>
      <c r="J11" s="7">
        <v>0</v>
      </c>
      <c r="K11" s="20">
        <f>K8*J11</f>
        <v>0</v>
      </c>
      <c r="L11" s="13"/>
      <c r="N11" s="1">
        <f t="shared" si="0"/>
        <v>6500</v>
      </c>
      <c r="O11" s="26">
        <v>520000</v>
      </c>
      <c r="P11" s="1">
        <v>32000</v>
      </c>
      <c r="Q11" s="30">
        <f t="shared" si="1"/>
        <v>6.1538461538461542E-2</v>
      </c>
      <c r="R11" s="1">
        <f t="shared" si="2"/>
        <v>4.9230769230769234</v>
      </c>
    </row>
    <row r="12" spans="2:18" ht="15" thickBot="1" x14ac:dyDescent="0.35">
      <c r="B12" s="12"/>
      <c r="C12" s="19" t="s">
        <v>0</v>
      </c>
      <c r="D12" s="8">
        <v>0.15</v>
      </c>
      <c r="E12" s="20">
        <f>R16</f>
        <v>6.9395204795204792</v>
      </c>
      <c r="F12" s="13"/>
      <c r="H12" s="12"/>
      <c r="I12" s="19" t="s">
        <v>0</v>
      </c>
      <c r="J12" s="8">
        <f>K12/K8</f>
        <v>7.4999999999999997E-2</v>
      </c>
      <c r="K12" s="20">
        <v>6</v>
      </c>
      <c r="L12" s="13"/>
      <c r="N12" s="1">
        <f t="shared" si="0"/>
        <v>6875</v>
      </c>
      <c r="O12" s="26">
        <v>550000</v>
      </c>
      <c r="P12" s="1">
        <v>32000</v>
      </c>
      <c r="Q12" s="30">
        <f t="shared" si="1"/>
        <v>5.8181818181818182E-2</v>
      </c>
      <c r="R12" s="1">
        <f t="shared" si="2"/>
        <v>4.6545454545454543</v>
      </c>
    </row>
    <row r="13" spans="2:18" ht="15" thickBot="1" x14ac:dyDescent="0.35">
      <c r="B13" s="12"/>
      <c r="C13" s="21" t="s">
        <v>3</v>
      </c>
      <c r="D13" s="22">
        <f>E13/E8</f>
        <v>-4.2146468915699675E-2</v>
      </c>
      <c r="E13" s="23">
        <f>E8-E9-E10-E12-E11</f>
        <v>-2.7395204795204791</v>
      </c>
      <c r="F13" s="13"/>
      <c r="H13" s="12"/>
      <c r="I13" s="21" t="s">
        <v>3</v>
      </c>
      <c r="J13" s="22">
        <f>K13/K8</f>
        <v>0.16499999999999998</v>
      </c>
      <c r="K13" s="23">
        <f>K8-K9-K10-K12-K11</f>
        <v>13.2</v>
      </c>
      <c r="L13" s="13"/>
      <c r="N13" s="1">
        <f t="shared" si="0"/>
        <v>8000</v>
      </c>
      <c r="O13" s="26">
        <v>640000</v>
      </c>
      <c r="P13" s="1">
        <v>32000</v>
      </c>
      <c r="Q13" s="30">
        <f t="shared" si="1"/>
        <v>0.05</v>
      </c>
      <c r="R13" s="1">
        <f t="shared" si="2"/>
        <v>4</v>
      </c>
    </row>
    <row r="14" spans="2:18" ht="15" thickBot="1" x14ac:dyDescent="0.35">
      <c r="B14" s="15"/>
      <c r="C14" s="16"/>
      <c r="D14" s="16"/>
      <c r="E14" s="16"/>
      <c r="F14" s="17"/>
      <c r="H14" s="15"/>
      <c r="I14" s="16"/>
      <c r="J14" s="16"/>
      <c r="K14" s="16"/>
      <c r="L14" s="17"/>
      <c r="Q14" t="s">
        <v>11</v>
      </c>
      <c r="R14" s="27">
        <f>AVERAGE(R8:R13)</f>
        <v>6.034365634365634</v>
      </c>
    </row>
    <row r="15" spans="2:18" x14ac:dyDescent="0.3">
      <c r="Q15" t="s">
        <v>12</v>
      </c>
      <c r="R15" s="28">
        <v>0.15</v>
      </c>
    </row>
    <row r="16" spans="2:18" x14ac:dyDescent="0.3">
      <c r="Q16" t="s">
        <v>13</v>
      </c>
      <c r="R16" s="27">
        <f>(R14*R15)+R14</f>
        <v>6.9395204795204792</v>
      </c>
    </row>
    <row r="22" spans="4:4" x14ac:dyDescent="0.3">
      <c r="D22" s="1"/>
    </row>
    <row r="23" spans="4:4" x14ac:dyDescent="0.3">
      <c r="D23" s="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Precificação</vt:lpstr>
      <vt:lpstr>Memoria de Calculo Desp Fixa</vt:lpstr>
      <vt:lpstr>Custo Fixo Mercado Livre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Thays Caroline Rodrigues de Moraes</dc:creator>
  <cp:lastModifiedBy>Thays Caroline Rodrigues de Moraes</cp:lastModifiedBy>
  <dcterms:created xsi:type="dcterms:W3CDTF">2025-11-07T12:58:31Z</dcterms:created>
  <dcterms:modified xsi:type="dcterms:W3CDTF">2026-02-27T00:58:39Z</dcterms:modified>
</cp:coreProperties>
</file>